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95487f9a9cd99dca/Desktop/"/>
    </mc:Choice>
  </mc:AlternateContent>
  <xr:revisionPtr revIDLastSave="75" documentId="14_{C2D115B5-2194-47BD-B5AB-D74F4DE19448}" xr6:coauthVersionLast="47" xr6:coauthVersionMax="47" xr10:uidLastSave="{D9D45768-9DC2-4A90-B34B-23726F5407D0}"/>
  <bookViews>
    <workbookView xWindow="-110" yWindow="-110" windowWidth="19420" windowHeight="10300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N4" i="2" l="1"/>
  <c r="N3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  <c r="N9" i="2"/>
  <c r="N8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2" i="2"/>
  <c r="N7" i="2"/>
  <c r="N5" i="2"/>
  <c r="N6" i="2"/>
</calcChain>
</file>

<file path=xl/sharedStrings.xml><?xml version="1.0" encoding="utf-8"?>
<sst xmlns="http://schemas.openxmlformats.org/spreadsheetml/2006/main" count="190" uniqueCount="125">
  <si>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</si>
  <si>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</si>
  <si>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</si>
  <si>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</si>
  <si>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</si>
  <si>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</si>
  <si>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</si>
  <si>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</si>
  <si>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</si>
  <si>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</si>
  <si>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</si>
  <si>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</si>
  <si>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</si>
  <si>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</si>
  <si>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</si>
  <si>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</si>
  <si>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</si>
  <si>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</si>
  <si>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</si>
  <si>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</si>
  <si>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</si>
  <si>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</si>
  <si>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</si>
  <si>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</si>
  <si>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</si>
  <si>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</si>
  <si>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</si>
  <si>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</si>
  <si>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</si>
  <si>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</si>
  <si>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</si>
  <si>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</si>
  <si>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</si>
  <si>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</si>
  <si>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</si>
  <si>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</si>
  <si>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</si>
  <si>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</si>
  <si>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</si>
  <si>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</si>
  <si>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</si>
  <si>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</si>
  <si>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</si>
  <si>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</si>
  <si>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</si>
  <si>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</si>
  <si>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</si>
  <si>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</si>
  <si>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</si>
  <si>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</si>
  <si>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</si>
  <si>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</si>
  <si>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</si>
  <si>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</si>
  <si>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</si>
  <si>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</si>
  <si>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</si>
  <si>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</si>
  <si>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</si>
  <si>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</si>
  <si>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</si>
  <si>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</si>
  <si>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</si>
  <si>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</si>
  <si>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</si>
  <si>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</si>
  <si>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</si>
  <si>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</si>
  <si>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</si>
  <si>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</si>
  <si>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</si>
  <si>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</si>
  <si>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</si>
  <si>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</si>
  <si>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</si>
  <si>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</si>
  <si>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</si>
  <si>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</si>
  <si>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</si>
  <si>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</si>
  <si>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</si>
  <si>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</si>
  <si>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</si>
  <si>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</si>
  <si>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</si>
  <si>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</si>
  <si>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</si>
  <si>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</si>
  <si>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</si>
  <si>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</si>
  <si>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</si>
  <si>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</si>
  <si>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</si>
  <si>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</si>
  <si>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</si>
  <si>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</si>
  <si>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</si>
  <si>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</si>
  <si>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</si>
  <si>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</si>
  <si>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</si>
  <si>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</si>
  <si>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</si>
  <si>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</si>
  <si>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</si>
  <si>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</si>
  <si>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</si>
  <si>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</si>
  <si>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</si>
  <si>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</si>
  <si>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COUNT</t>
  </si>
  <si>
    <t>SUM</t>
  </si>
  <si>
    <t>MINIMUM</t>
  </si>
  <si>
    <t>MAXIMUM</t>
  </si>
  <si>
    <t>AVERAGE</t>
  </si>
  <si>
    <t>Price Range</t>
  </si>
  <si>
    <t>SUMIF</t>
  </si>
  <si>
    <t>COUNTIF</t>
  </si>
  <si>
    <t>Day</t>
  </si>
  <si>
    <t>Country Code</t>
  </si>
  <si>
    <t>Month</t>
  </si>
  <si>
    <t>1)</t>
  </si>
  <si>
    <t>2)</t>
  </si>
  <si>
    <t>4)</t>
  </si>
  <si>
    <t>ASSIGNMENT-1 -DATA EXPLORATION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</si>
</sst>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b/>
      <sz val="11"/>
      <color theme="1"/>
      <name val="Arial"/>
      <family val="2"/>
    </font>
    <font>
      <b/>
      <sz val="12"/>
      <color rgb="FF000000"/>
      <name val="Arial"/>
      <family val="2"/>
      <scheme val="minor"/>
    </font>
    <font>
      <b/>
      <u val="double"/>
      <sz val="14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0DBEDB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1" xfId="0" applyFont="1" applyBorder="1"/>
    <xf numFmtId="0" fontId="0" fillId="0" borderId="1" xfId="0" applyBorder="1"/>
    <xf numFmtId="0" fontId="11" fillId="0" borderId="5" xfId="0" applyFont="1" applyBorder="1" applyAlignment="1">
      <alignment horizontal="right"/>
    </xf>
    <xf numFmtId="0" fontId="11" fillId="0" borderId="6" xfId="0" applyFont="1" applyBorder="1" applyAlignment="1">
      <alignment horizontal="right"/>
    </xf>
    <xf numFmtId="0" fontId="11" fillId="0" borderId="7" xfId="0" applyFont="1" applyBorder="1" applyAlignment="1">
      <alignment horizontal="right"/>
    </xf>
    <xf numFmtId="0" fontId="0" fillId="0" borderId="0" xfId="0" applyAlignment="1">
      <alignment horizontal="right"/>
    </xf>
    <xf numFmtId="0" fontId="9" fillId="0" borderId="0" xfId="0" applyFont="1"/>
    <xf numFmtId="0" fontId="6" fillId="0" borderId="0" xfId="0" applyFont="1"/>
    <xf numFmtId="0" fontId="6" fillId="3" borderId="0" xfId="0" applyFont="1" applyFill="1"/>
    <xf numFmtId="0" fontId="10" fillId="2" borderId="2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10" fillId="2" borderId="8" xfId="0" applyFont="1" applyFill="1" applyBorder="1" applyAlignment="1">
      <alignment horizontal="center"/>
    </xf>
    <xf numFmtId="0" fontId="10" fillId="2" borderId="9" xfId="0" applyFont="1" applyFill="1" applyBorder="1" applyAlignment="1">
      <alignment horizontal="center"/>
    </xf>
    <xf numFmtId="0" fontId="6" fillId="0" borderId="3" xfId="0" applyFont="1" applyBorder="1"/>
    <xf numFmtId="0" fontId="6" fillId="0" borderId="10" xfId="0" applyFont="1" applyBorder="1"/>
    <xf numFmtId="0" fontId="6" fillId="3" borderId="3" xfId="0" applyFont="1" applyFill="1" applyBorder="1"/>
    <xf numFmtId="0" fontId="6" fillId="3" borderId="10" xfId="0" applyFont="1" applyFill="1" applyBorder="1"/>
    <xf numFmtId="0" fontId="6" fillId="3" borderId="4" xfId="0" applyFont="1" applyFill="1" applyBorder="1"/>
    <xf numFmtId="0" fontId="6" fillId="3" borderId="11" xfId="0" applyFont="1" applyFill="1" applyBorder="1"/>
    <xf numFmtId="0" fontId="6" fillId="3" borderId="12" xfId="0" applyFont="1" applyFill="1" applyBorder="1"/>
    <xf numFmtId="0" fontId="6" fillId="0" borderId="14" xfId="0" applyFont="1" applyBorder="1"/>
    <xf numFmtId="0" fontId="0" fillId="0" borderId="14" xfId="0" applyBorder="1"/>
    <xf numFmtId="0" fontId="6" fillId="0" borderId="13" xfId="0" applyFont="1" applyBorder="1"/>
    <xf numFmtId="0" fontId="6" fillId="0" borderId="15" xfId="0" applyFont="1" applyBorder="1"/>
    <xf numFmtId="0" fontId="0" fillId="0" borderId="15" xfId="0" applyBorder="1"/>
    <xf numFmtId="0" fontId="0" fillId="0" borderId="0" xfId="0" applyAlignment="1">
      <alignment horizontal="left" indent="1"/>
    </xf>
    <xf numFmtId="0" fontId="12" fillId="0" borderId="0" xfId="0" applyFont="1" applyAlignment="1">
      <alignment horizontal="left" indent="2"/>
    </xf>
    <xf numFmtId="0" fontId="9" fillId="4" borderId="16" xfId="0" applyFont="1" applyFill="1" applyBorder="1"/>
    <xf numFmtId="0" fontId="10" fillId="4" borderId="16" xfId="0" applyFont="1" applyFill="1" applyBorder="1" applyAlignment="1">
      <alignment horizontal="center"/>
    </xf>
    <xf numFmtId="0" fontId="10" fillId="4" borderId="13" xfId="0" applyFont="1" applyFill="1" applyBorder="1" applyAlignment="1">
      <alignment horizontal="center"/>
    </xf>
  </cellXfs>
  <cellStyles count="1">
    <cellStyle name="Normal" xfId="0" builtinId="0"/>
  </cellStyles>
  <dxfs count="11">
    <dxf>
      <border diagonalUp="0" diagonalDown="0">
        <left style="medium">
          <color indexed="64"/>
        </left>
        <right style="medium">
          <color indexed="64"/>
        </right>
        <vertical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medium">
          <color indexed="64"/>
        </left>
        <right/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colors>
    <mruColors>
      <color rgb="FF0DBEDB"/>
      <color rgb="FFBAFE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microsoft.com/office/2017/10/relationships/person" Target="persons/person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3C3D739-56DC-4269-950A-950679D10064}" name="Table4" displayName="Table4" ref="A1:J35" totalsRowShown="0" tableBorderDxfId="10">
  <autoFilter ref="A1:J35" xr:uid="{C3C3D739-56DC-4269-950A-950679D10064}"/>
  <tableColumns count="10">
    <tableColumn id="1" xr3:uid="{F7B86E53-5F69-433E-8B54-71E343C17C07}" name="Product ID" dataDxfId="9"/>
    <tableColumn id="2" xr3:uid="{373A7729-4EA2-4504-8642-1E3DCB66C362}" name="Product Name" dataDxfId="8"/>
    <tableColumn id="3" xr3:uid="{7490A505-0ED5-4547-AD44-66ECAE4F574F}" name="Brand Name" dataDxfId="7"/>
    <tableColumn id="4" xr3:uid="{866FF1C6-9548-4BA5-B2E4-3321EAB3F3A4}" name="Price ($)" dataDxfId="6"/>
    <tableColumn id="5" xr3:uid="{CD5A45B0-F4E2-46EB-AD65-71E48FC47D68}" name="Quantity" dataDxfId="5"/>
    <tableColumn id="6" xr3:uid="{435F039E-E473-45B7-8677-FBD857E44E34}" name="Category" dataDxfId="4"/>
    <tableColumn id="7" xr3:uid="{43710FE0-27E8-4E76-82E1-BA71CEC78F8C}" name="Price Range" dataDxfId="3">
      <calculatedColumnFormula>IF(D2&gt;=500,"High price","Standard price")</calculatedColumnFormula>
    </tableColumn>
    <tableColumn id="8" xr3:uid="{F29F1894-5590-4603-806B-51BFB4EE91E2}" name="Day" dataDxfId="2">
      <calculatedColumnFormula>LEFT(A2,2)</calculatedColumnFormula>
    </tableColumn>
    <tableColumn id="9" xr3:uid="{CAD1BA0F-44E3-49BB-AFF9-5E0A00CBA174}" name="Country Code" dataDxfId="1">
      <calculatedColumnFormula>RIGHT(A2,2)</calculatedColumnFormula>
    </tableColumn>
    <tableColumn id="10" xr3:uid="{0C34858F-108E-4EE2-B697-C4475CFEA28F}" name="Month" dataDxfId="0">
      <calculatedColumnFormula>MID(A2,4,3)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49EC9E3-48E8-4B00-83B2-E250DF3FBFE2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F94W3bbuSACbUBW3fFlC4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zoomScale="36" zoomScaleNormal="36" workbookViewId="0">
      <selection activeCell="A2" sqref="A2:Q24"/>
    </sheetView>
  </sheetViews>
  <sheetFormatPr defaultColWidth="12.6328125" defaultRowHeight="15" customHeight="1" x14ac:dyDescent="0.25"/>
  <cols>
    <col min="1" max="1" width="12.6328125" customWidth="1"/>
    <col min="2" max="2" width="7.453125" customWidth="1"/>
    <col min="3" max="6" width="12.6328125" customWidth="1"/>
  </cols>
  <sheetData>
    <row r="1" spans="1:3" ht="15.75" customHeight="1" x14ac:dyDescent="0.3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5">
      <c r="B4" s="2"/>
      <c r="C4" s="3" t="s">
        <v>2</v>
      </c>
    </row>
    <row r="5" spans="1:3" ht="15.75" customHeight="1" x14ac:dyDescent="0.35">
      <c r="B5" s="2"/>
      <c r="C5" s="3" t="s">
        <v>3</v>
      </c>
    </row>
    <row r="6" spans="1:3" ht="15.75" customHeight="1" x14ac:dyDescent="0.35">
      <c r="B6" s="2"/>
      <c r="C6" s="3" t="s">
        <v>4</v>
      </c>
    </row>
    <row r="7" spans="1:3" ht="15.75" customHeight="1" x14ac:dyDescent="0.35">
      <c r="B7" s="4"/>
    </row>
    <row r="8" spans="1:3" ht="15.75" customHeight="1" x14ac:dyDescent="0.3">
      <c r="B8" s="2" t="s">
        <v>5</v>
      </c>
    </row>
    <row r="9" spans="1:3" ht="15.75" customHeight="1" x14ac:dyDescent="0.35">
      <c r="C9" s="3" t="s">
        <v>6</v>
      </c>
    </row>
    <row r="10" spans="1:3" ht="15.75" customHeight="1" x14ac:dyDescent="0.35">
      <c r="C10" s="3" t="s">
        <v>7</v>
      </c>
    </row>
    <row r="11" spans="1:3" ht="15.75" customHeight="1" x14ac:dyDescent="0.35">
      <c r="B11" s="4"/>
    </row>
    <row r="12" spans="1:3" ht="15.75" customHeight="1" x14ac:dyDescent="0.3">
      <c r="B12" s="2" t="s">
        <v>8</v>
      </c>
    </row>
    <row r="13" spans="1:3" ht="15.75" customHeight="1" x14ac:dyDescent="0.35">
      <c r="C13" s="3" t="s">
        <v>9</v>
      </c>
    </row>
    <row r="14" spans="1:3" ht="15.75" customHeight="1" x14ac:dyDescent="0.35">
      <c r="B14" s="4"/>
    </row>
    <row r="15" spans="1:3" ht="15.75" customHeight="1" x14ac:dyDescent="0.3">
      <c r="B15" s="2" t="s">
        <v>10</v>
      </c>
    </row>
    <row r="16" spans="1:3" ht="15.75" customHeight="1" x14ac:dyDescent="0.35">
      <c r="C16" s="3" t="s">
        <v>11</v>
      </c>
    </row>
    <row r="17" spans="2:3" ht="15.75" customHeight="1" x14ac:dyDescent="0.35">
      <c r="C17" s="3" t="s">
        <v>12</v>
      </c>
    </row>
    <row r="18" spans="2:3" ht="15.75" customHeight="1" x14ac:dyDescent="0.35">
      <c r="B18" s="4"/>
    </row>
    <row r="19" spans="2:3" ht="15.75" customHeight="1" x14ac:dyDescent="0.3">
      <c r="B19" s="2" t="s">
        <v>13</v>
      </c>
    </row>
    <row r="20" spans="2:3" ht="15.75" customHeight="1" x14ac:dyDescent="0.35">
      <c r="C20" s="3" t="s">
        <v>14</v>
      </c>
    </row>
    <row r="21" spans="2:3" ht="15.75" customHeight="1" x14ac:dyDescent="0.35">
      <c r="C21" s="3" t="s">
        <v>15</v>
      </c>
    </row>
    <row r="22" spans="2:3" ht="15.75" customHeight="1" x14ac:dyDescent="0.35">
      <c r="C22" s="3" t="s">
        <v>16</v>
      </c>
    </row>
    <row r="23" spans="2:3" ht="15.75" customHeight="1" x14ac:dyDescent="0.35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39997558519241921"/>
    <outlinePr summaryBelow="0" summaryRight="0"/>
  </sheetPr>
  <dimension ref="A1:P1000"/>
  <sheetViews>
    <sheetView tabSelected="1" topLeftCell="F1" zoomScale="80" zoomScaleNormal="80" workbookViewId="0">
      <selection activeCell="H2" sqref="H2"/>
    </sheetView>
  </sheetViews>
  <sheetFormatPr defaultColWidth="12.6328125" defaultRowHeight="15" customHeight="1" x14ac:dyDescent="0.25"/>
  <cols>
    <col min="1" max="1" width="12.90625" customWidth="1"/>
    <col min="2" max="2" width="15.26953125" customWidth="1"/>
    <col min="3" max="3" width="14.7265625" customWidth="1"/>
    <col min="4" max="6" width="12.6328125" customWidth="1"/>
    <col min="7" max="7" width="20.36328125" customWidth="1"/>
    <col min="8" max="8" width="18.90625" customWidth="1"/>
    <col min="9" max="9" width="17.6328125" customWidth="1"/>
    <col min="10" max="10" width="18.90625" customWidth="1"/>
    <col min="12" max="12" width="11.36328125" customWidth="1"/>
    <col min="13" max="13" width="17.81640625" customWidth="1"/>
    <col min="14" max="14" width="22.81640625" customWidth="1"/>
    <col min="15" max="15" width="25.81640625" customWidth="1"/>
  </cols>
  <sheetData>
    <row r="1" spans="1:15" ht="15.75" customHeight="1" thickBot="1" x14ac:dyDescent="0.45">
      <c r="A1" s="15" t="s">
        <v>17</v>
      </c>
      <c r="B1" s="16" t="s">
        <v>18</v>
      </c>
      <c r="C1" s="17" t="s">
        <v>19</v>
      </c>
      <c r="D1" s="17" t="s">
        <v>20</v>
      </c>
      <c r="E1" s="17" t="s">
        <v>21</v>
      </c>
      <c r="F1" s="18" t="s">
        <v>22</v>
      </c>
      <c r="G1" s="35" t="s">
        <v>115</v>
      </c>
      <c r="H1" s="34" t="s">
        <v>118</v>
      </c>
      <c r="I1" s="33" t="s">
        <v>119</v>
      </c>
      <c r="J1" s="33" t="s">
        <v>120</v>
      </c>
      <c r="L1" s="32" t="s">
        <v>124</v>
      </c>
      <c r="M1" s="32"/>
      <c r="N1" s="32"/>
      <c r="O1" s="31"/>
    </row>
    <row r="2" spans="1:15" ht="15.75" customHeight="1" x14ac:dyDescent="0.25">
      <c r="A2" s="19" t="s">
        <v>23</v>
      </c>
      <c r="B2" s="13" t="s">
        <v>24</v>
      </c>
      <c r="C2" s="13" t="s">
        <v>25</v>
      </c>
      <c r="D2" s="13">
        <v>1000</v>
      </c>
      <c r="E2" s="13">
        <v>30</v>
      </c>
      <c r="F2" s="20" t="s">
        <v>26</v>
      </c>
      <c r="G2" s="28" t="str">
        <f t="shared" ref="G2:G35" si="0">IF(D2&gt;=500,"High price","Standard price")</f>
        <v>High price</v>
      </c>
      <c r="H2" s="26" t="str">
        <f>LEFT(A2,2)</f>
        <v>28</v>
      </c>
      <c r="I2" s="27" t="str">
        <f>RIGHT(A2,2)</f>
        <v>US</v>
      </c>
      <c r="J2" s="27" t="str">
        <f>MID(A2,4,3)</f>
        <v>JAN</v>
      </c>
    </row>
    <row r="3" spans="1:15" ht="15.75" customHeight="1" x14ac:dyDescent="0.35">
      <c r="A3" s="21" t="s">
        <v>27</v>
      </c>
      <c r="B3" s="14" t="s">
        <v>28</v>
      </c>
      <c r="C3" s="14" t="s">
        <v>29</v>
      </c>
      <c r="D3" s="14">
        <v>80</v>
      </c>
      <c r="E3" s="14">
        <v>15</v>
      </c>
      <c r="F3" s="22" t="s">
        <v>30</v>
      </c>
      <c r="G3" s="26" t="str">
        <f t="shared" si="0"/>
        <v>Standard price</v>
      </c>
      <c r="H3" s="26" t="str">
        <f t="shared" ref="H3:H35" si="1">LEFT(A3,2)</f>
        <v>15</v>
      </c>
      <c r="I3" s="27" t="str">
        <f t="shared" ref="I3:I35" si="2">RIGHT(A3,2)</f>
        <v>US</v>
      </c>
      <c r="J3" s="27" t="str">
        <f t="shared" ref="J3:J35" si="3">MID(A3,4,3)</f>
        <v>FEB</v>
      </c>
      <c r="L3" s="8" t="s">
        <v>121</v>
      </c>
      <c r="M3" s="6" t="s">
        <v>111</v>
      </c>
      <c r="N3" s="7">
        <f>SUM(D2:D35)</f>
        <v>10100</v>
      </c>
    </row>
    <row r="4" spans="1:15" ht="15.75" customHeight="1" x14ac:dyDescent="0.35">
      <c r="A4" s="19" t="s">
        <v>31</v>
      </c>
      <c r="B4" s="13" t="s">
        <v>32</v>
      </c>
      <c r="C4" s="13" t="s">
        <v>33</v>
      </c>
      <c r="D4" s="13">
        <v>130</v>
      </c>
      <c r="E4" s="13">
        <v>40</v>
      </c>
      <c r="F4" s="20" t="s">
        <v>34</v>
      </c>
      <c r="G4" s="26" t="str">
        <f t="shared" si="0"/>
        <v>Standard price</v>
      </c>
      <c r="H4" s="26" t="str">
        <f t="shared" si="1"/>
        <v>03</v>
      </c>
      <c r="I4" s="27" t="str">
        <f t="shared" si="2"/>
        <v>US</v>
      </c>
      <c r="J4" s="27" t="str">
        <f t="shared" si="3"/>
        <v>MAR</v>
      </c>
      <c r="L4" s="9"/>
      <c r="M4" s="6" t="s">
        <v>110</v>
      </c>
      <c r="N4" s="7">
        <f>COUNT(E2:E35)</f>
        <v>34</v>
      </c>
    </row>
    <row r="5" spans="1:15" ht="15.75" customHeight="1" x14ac:dyDescent="0.35">
      <c r="A5" s="21" t="s">
        <v>35</v>
      </c>
      <c r="B5" s="14" t="s">
        <v>36</v>
      </c>
      <c r="C5" s="14" t="s">
        <v>37</v>
      </c>
      <c r="D5" s="14">
        <v>900</v>
      </c>
      <c r="E5" s="14">
        <v>25</v>
      </c>
      <c r="F5" s="22" t="s">
        <v>26</v>
      </c>
      <c r="G5" s="26" t="str">
        <f t="shared" si="0"/>
        <v>High price</v>
      </c>
      <c r="H5" s="26" t="str">
        <f t="shared" si="1"/>
        <v>11</v>
      </c>
      <c r="I5" s="27" t="str">
        <f t="shared" si="2"/>
        <v>US</v>
      </c>
      <c r="J5" s="27" t="str">
        <f t="shared" si="3"/>
        <v>APR</v>
      </c>
      <c r="L5" s="10"/>
      <c r="M5" s="6" t="s">
        <v>114</v>
      </c>
      <c r="N5" s="7">
        <f>AVERAGE(D2:D35)</f>
        <v>297.05882352941177</v>
      </c>
    </row>
    <row r="6" spans="1:15" ht="15.75" customHeight="1" x14ac:dyDescent="0.35">
      <c r="A6" s="19" t="s">
        <v>38</v>
      </c>
      <c r="B6" s="13" t="s">
        <v>39</v>
      </c>
      <c r="C6" s="13" t="s">
        <v>40</v>
      </c>
      <c r="D6" s="13">
        <v>70</v>
      </c>
      <c r="E6" s="13">
        <v>20</v>
      </c>
      <c r="F6" s="20" t="s">
        <v>41</v>
      </c>
      <c r="G6" s="26" t="str">
        <f t="shared" si="0"/>
        <v>Standard price</v>
      </c>
      <c r="H6" s="26" t="str">
        <f t="shared" si="1"/>
        <v>22</v>
      </c>
      <c r="I6" s="27" t="str">
        <f t="shared" si="2"/>
        <v>US</v>
      </c>
      <c r="J6" s="27" t="str">
        <f t="shared" si="3"/>
        <v>MAY</v>
      </c>
      <c r="L6" s="8" t="s">
        <v>122</v>
      </c>
      <c r="M6" s="6" t="s">
        <v>112</v>
      </c>
      <c r="N6" s="7">
        <f>MIN(D2:D35)</f>
        <v>30</v>
      </c>
    </row>
    <row r="7" spans="1:15" ht="15.75" customHeight="1" x14ac:dyDescent="0.35">
      <c r="A7" s="21" t="s">
        <v>42</v>
      </c>
      <c r="B7" s="14" t="s">
        <v>43</v>
      </c>
      <c r="C7" s="14" t="s">
        <v>44</v>
      </c>
      <c r="D7" s="14">
        <v>200</v>
      </c>
      <c r="E7" s="14">
        <v>45</v>
      </c>
      <c r="F7" s="22" t="s">
        <v>26</v>
      </c>
      <c r="G7" s="26" t="str">
        <f t="shared" si="0"/>
        <v>Standard price</v>
      </c>
      <c r="H7" s="26" t="str">
        <f t="shared" si="1"/>
        <v>07</v>
      </c>
      <c r="I7" s="27" t="str">
        <f t="shared" si="2"/>
        <v>UK</v>
      </c>
      <c r="J7" s="27" t="str">
        <f t="shared" si="3"/>
        <v>JUN</v>
      </c>
      <c r="L7" s="10"/>
      <c r="M7" s="6" t="s">
        <v>113</v>
      </c>
      <c r="N7" s="7">
        <f>MAX(D2:D35)</f>
        <v>1000</v>
      </c>
    </row>
    <row r="8" spans="1:15" ht="15.75" customHeight="1" x14ac:dyDescent="0.35">
      <c r="A8" s="19" t="s">
        <v>45</v>
      </c>
      <c r="B8" s="13" t="s">
        <v>46</v>
      </c>
      <c r="C8" s="13" t="s">
        <v>47</v>
      </c>
      <c r="D8" s="13">
        <v>30</v>
      </c>
      <c r="E8" s="13">
        <v>5</v>
      </c>
      <c r="F8" s="20" t="s">
        <v>30</v>
      </c>
      <c r="G8" s="26" t="str">
        <f t="shared" si="0"/>
        <v>Standard price</v>
      </c>
      <c r="H8" s="26" t="str">
        <f t="shared" si="1"/>
        <v>19</v>
      </c>
      <c r="I8" s="27" t="str">
        <f t="shared" si="2"/>
        <v>UK</v>
      </c>
      <c r="J8" s="27" t="str">
        <f t="shared" si="3"/>
        <v>JUL</v>
      </c>
      <c r="L8" s="8" t="s">
        <v>123</v>
      </c>
      <c r="M8" s="6" t="s">
        <v>116</v>
      </c>
      <c r="N8" s="7">
        <f>SUMIF(F2:F35,"electronics",D2:D35)</f>
        <v>8050</v>
      </c>
    </row>
    <row r="9" spans="1:15" ht="15.75" customHeight="1" x14ac:dyDescent="0.35">
      <c r="A9" s="21" t="s">
        <v>48</v>
      </c>
      <c r="B9" s="14" t="s">
        <v>49</v>
      </c>
      <c r="C9" s="14" t="s">
        <v>50</v>
      </c>
      <c r="D9" s="14">
        <v>90</v>
      </c>
      <c r="E9" s="14">
        <v>35</v>
      </c>
      <c r="F9" s="22" t="s">
        <v>34</v>
      </c>
      <c r="G9" s="26" t="str">
        <f t="shared" si="0"/>
        <v>Standard price</v>
      </c>
      <c r="H9" s="26" t="str">
        <f t="shared" si="1"/>
        <v>23</v>
      </c>
      <c r="I9" s="27" t="str">
        <f t="shared" si="2"/>
        <v>UK</v>
      </c>
      <c r="J9" s="27" t="str">
        <f t="shared" si="3"/>
        <v>AUG</v>
      </c>
      <c r="L9" s="10"/>
      <c r="M9" s="6" t="s">
        <v>117</v>
      </c>
      <c r="N9" s="7">
        <f>COUNTIF(D2:D35,"&lt;100")</f>
        <v>11</v>
      </c>
    </row>
    <row r="10" spans="1:15" ht="15.75" customHeight="1" x14ac:dyDescent="0.25">
      <c r="A10" s="19" t="s">
        <v>51</v>
      </c>
      <c r="B10" s="13" t="s">
        <v>52</v>
      </c>
      <c r="C10" s="13" t="s">
        <v>53</v>
      </c>
      <c r="D10" s="13">
        <v>500</v>
      </c>
      <c r="E10" s="13">
        <v>50</v>
      </c>
      <c r="F10" s="20" t="s">
        <v>26</v>
      </c>
      <c r="G10" s="26" t="str">
        <f t="shared" si="0"/>
        <v>High price</v>
      </c>
      <c r="H10" s="26" t="str">
        <f t="shared" si="1"/>
        <v>05</v>
      </c>
      <c r="I10" s="27" t="str">
        <f t="shared" si="2"/>
        <v>UK</v>
      </c>
      <c r="J10" s="27" t="str">
        <f t="shared" si="3"/>
        <v>SEP</v>
      </c>
      <c r="L10" s="11"/>
    </row>
    <row r="11" spans="1:15" ht="15.75" customHeight="1" x14ac:dyDescent="0.25">
      <c r="A11" s="21" t="s">
        <v>54</v>
      </c>
      <c r="B11" s="14" t="s">
        <v>55</v>
      </c>
      <c r="C11" s="14" t="s">
        <v>56</v>
      </c>
      <c r="D11" s="14">
        <v>130</v>
      </c>
      <c r="E11" s="14">
        <v>10</v>
      </c>
      <c r="F11" s="22" t="s">
        <v>41</v>
      </c>
      <c r="G11" s="26" t="str">
        <f t="shared" si="0"/>
        <v>Standard price</v>
      </c>
      <c r="H11" s="26" t="str">
        <f t="shared" si="1"/>
        <v>14</v>
      </c>
      <c r="I11" s="27" t="str">
        <f t="shared" si="2"/>
        <v>UK</v>
      </c>
      <c r="J11" s="27" t="str">
        <f t="shared" si="3"/>
        <v>OCT</v>
      </c>
    </row>
    <row r="12" spans="1:15" ht="15.75" customHeight="1" x14ac:dyDescent="0.25">
      <c r="A12" s="19" t="s">
        <v>57</v>
      </c>
      <c r="B12" s="13" t="s">
        <v>24</v>
      </c>
      <c r="C12" s="13" t="s">
        <v>58</v>
      </c>
      <c r="D12" s="13">
        <v>950</v>
      </c>
      <c r="E12" s="13">
        <v>25</v>
      </c>
      <c r="F12" s="20" t="s">
        <v>26</v>
      </c>
      <c r="G12" s="26" t="str">
        <f t="shared" si="0"/>
        <v>High price</v>
      </c>
      <c r="H12" s="26" t="str">
        <f t="shared" si="1"/>
        <v>17</v>
      </c>
      <c r="I12" s="27" t="str">
        <f t="shared" si="2"/>
        <v>IN</v>
      </c>
      <c r="J12" s="27" t="str">
        <f t="shared" si="3"/>
        <v>JUN</v>
      </c>
    </row>
    <row r="13" spans="1:15" ht="15.75" customHeight="1" x14ac:dyDescent="0.25">
      <c r="A13" s="21" t="s">
        <v>59</v>
      </c>
      <c r="B13" s="14" t="s">
        <v>28</v>
      </c>
      <c r="C13" s="14" t="s">
        <v>47</v>
      </c>
      <c r="D13" s="14">
        <v>90</v>
      </c>
      <c r="E13" s="14">
        <v>40</v>
      </c>
      <c r="F13" s="22" t="s">
        <v>30</v>
      </c>
      <c r="G13" s="26" t="str">
        <f t="shared" si="0"/>
        <v>Standard price</v>
      </c>
      <c r="H13" s="26" t="str">
        <f t="shared" si="1"/>
        <v>25</v>
      </c>
      <c r="I13" s="27" t="str">
        <f t="shared" si="2"/>
        <v>AU</v>
      </c>
      <c r="J13" s="27" t="str">
        <f t="shared" si="3"/>
        <v>NOV</v>
      </c>
    </row>
    <row r="14" spans="1:15" ht="15.75" customHeight="1" x14ac:dyDescent="0.3">
      <c r="A14" s="19" t="s">
        <v>60</v>
      </c>
      <c r="B14" s="13" t="s">
        <v>32</v>
      </c>
      <c r="C14" s="13" t="s">
        <v>61</v>
      </c>
      <c r="D14" s="13">
        <v>120</v>
      </c>
      <c r="E14" s="13">
        <v>35</v>
      </c>
      <c r="F14" s="20" t="s">
        <v>34</v>
      </c>
      <c r="G14" s="26" t="str">
        <f t="shared" si="0"/>
        <v>Standard price</v>
      </c>
      <c r="H14" s="26" t="str">
        <f t="shared" si="1"/>
        <v>08</v>
      </c>
      <c r="I14" s="27" t="str">
        <f t="shared" si="2"/>
        <v>DE</v>
      </c>
      <c r="J14" s="27" t="str">
        <f t="shared" si="3"/>
        <v>DEC</v>
      </c>
      <c r="M14" s="12"/>
      <c r="N14" s="12"/>
    </row>
    <row r="15" spans="1:15" ht="15.75" customHeight="1" x14ac:dyDescent="0.3">
      <c r="A15" s="21" t="s">
        <v>62</v>
      </c>
      <c r="B15" s="14" t="s">
        <v>63</v>
      </c>
      <c r="C15" s="14" t="s">
        <v>64</v>
      </c>
      <c r="D15" s="14">
        <v>150</v>
      </c>
      <c r="E15" s="14">
        <v>15</v>
      </c>
      <c r="F15" s="22" t="s">
        <v>26</v>
      </c>
      <c r="G15" s="26" t="str">
        <f t="shared" si="0"/>
        <v>Standard price</v>
      </c>
      <c r="H15" s="26" t="str">
        <f t="shared" si="1"/>
        <v>18</v>
      </c>
      <c r="I15" s="27" t="str">
        <f t="shared" si="2"/>
        <v>CA</v>
      </c>
      <c r="J15" s="27" t="str">
        <f t="shared" si="3"/>
        <v>FEB</v>
      </c>
      <c r="M15" s="12" t="s">
        <v>1</v>
      </c>
      <c r="N15" s="12"/>
    </row>
    <row r="16" spans="1:15" ht="15.75" customHeight="1" x14ac:dyDescent="0.25">
      <c r="A16" s="19" t="s">
        <v>65</v>
      </c>
      <c r="B16" s="13" t="s">
        <v>43</v>
      </c>
      <c r="C16" s="13" t="s">
        <v>66</v>
      </c>
      <c r="D16" s="13">
        <v>250</v>
      </c>
      <c r="E16" s="13">
        <v>20</v>
      </c>
      <c r="F16" s="20" t="s">
        <v>26</v>
      </c>
      <c r="G16" s="26" t="str">
        <f t="shared" si="0"/>
        <v>Standard price</v>
      </c>
      <c r="H16" s="26" t="str">
        <f t="shared" si="1"/>
        <v>16</v>
      </c>
      <c r="I16" s="27" t="str">
        <f t="shared" si="2"/>
        <v>ES</v>
      </c>
      <c r="J16" s="27" t="str">
        <f t="shared" si="3"/>
        <v>APR</v>
      </c>
      <c r="N16" t="s">
        <v>2</v>
      </c>
    </row>
    <row r="17" spans="1:16" ht="15.75" customHeight="1" x14ac:dyDescent="0.25">
      <c r="A17" s="21" t="s">
        <v>67</v>
      </c>
      <c r="B17" s="14" t="s">
        <v>68</v>
      </c>
      <c r="C17" s="14" t="s">
        <v>69</v>
      </c>
      <c r="D17" s="14">
        <v>50</v>
      </c>
      <c r="E17" s="14">
        <v>35</v>
      </c>
      <c r="F17" s="22" t="s">
        <v>70</v>
      </c>
      <c r="G17" s="26" t="str">
        <f t="shared" si="0"/>
        <v>Standard price</v>
      </c>
      <c r="H17" s="26" t="str">
        <f t="shared" si="1"/>
        <v>21</v>
      </c>
      <c r="I17" s="27" t="str">
        <f t="shared" si="2"/>
        <v>CA</v>
      </c>
      <c r="J17" s="27" t="str">
        <f t="shared" si="3"/>
        <v>AUG</v>
      </c>
      <c r="N17" t="s">
        <v>3</v>
      </c>
    </row>
    <row r="18" spans="1:16" ht="15.75" customHeight="1" x14ac:dyDescent="0.25">
      <c r="A18" s="19" t="s">
        <v>71</v>
      </c>
      <c r="B18" s="13" t="s">
        <v>63</v>
      </c>
      <c r="C18" s="13" t="s">
        <v>72</v>
      </c>
      <c r="D18" s="13">
        <v>160</v>
      </c>
      <c r="E18" s="13">
        <v>15</v>
      </c>
      <c r="F18" s="20" t="s">
        <v>26</v>
      </c>
      <c r="G18" s="26" t="str">
        <f t="shared" si="0"/>
        <v>Standard price</v>
      </c>
      <c r="H18" s="26" t="str">
        <f t="shared" si="1"/>
        <v>20</v>
      </c>
      <c r="I18" s="27" t="str">
        <f t="shared" si="2"/>
        <v>CN</v>
      </c>
      <c r="J18" s="27" t="str">
        <f t="shared" si="3"/>
        <v>AUG</v>
      </c>
      <c r="N18" t="s">
        <v>4</v>
      </c>
      <c r="P18" s="5"/>
    </row>
    <row r="19" spans="1:16" ht="15.75" customHeight="1" x14ac:dyDescent="0.25">
      <c r="A19" s="21" t="s">
        <v>73</v>
      </c>
      <c r="B19" s="14" t="s">
        <v>24</v>
      </c>
      <c r="C19" s="14" t="s">
        <v>74</v>
      </c>
      <c r="D19" s="14">
        <v>980</v>
      </c>
      <c r="E19" s="14">
        <v>10</v>
      </c>
      <c r="F19" s="22" t="s">
        <v>26</v>
      </c>
      <c r="G19" s="26" t="str">
        <f t="shared" si="0"/>
        <v>High price</v>
      </c>
      <c r="H19" s="26" t="str">
        <f t="shared" si="1"/>
        <v>27</v>
      </c>
      <c r="I19" s="27" t="str">
        <f t="shared" si="2"/>
        <v>IT</v>
      </c>
      <c r="J19" s="27" t="str">
        <f t="shared" si="3"/>
        <v>JAN</v>
      </c>
    </row>
    <row r="20" spans="1:16" ht="15.75" customHeight="1" x14ac:dyDescent="0.3">
      <c r="A20" s="19" t="s">
        <v>75</v>
      </c>
      <c r="B20" s="13" t="s">
        <v>76</v>
      </c>
      <c r="C20" s="13" t="s">
        <v>77</v>
      </c>
      <c r="D20" s="13">
        <v>150</v>
      </c>
      <c r="E20" s="13">
        <v>15</v>
      </c>
      <c r="F20" s="20" t="s">
        <v>30</v>
      </c>
      <c r="G20" s="26" t="str">
        <f t="shared" si="0"/>
        <v>Standard price</v>
      </c>
      <c r="H20" s="26" t="str">
        <f t="shared" si="1"/>
        <v>01</v>
      </c>
      <c r="I20" s="27" t="str">
        <f t="shared" si="2"/>
        <v>UK</v>
      </c>
      <c r="J20" s="27" t="str">
        <f t="shared" si="3"/>
        <v>MAR</v>
      </c>
      <c r="M20" s="12" t="s">
        <v>5</v>
      </c>
    </row>
    <row r="21" spans="1:16" ht="15.75" customHeight="1" x14ac:dyDescent="0.25">
      <c r="A21" s="21" t="s">
        <v>78</v>
      </c>
      <c r="B21" s="14" t="s">
        <v>79</v>
      </c>
      <c r="C21" s="14" t="s">
        <v>80</v>
      </c>
      <c r="D21" s="14">
        <v>200</v>
      </c>
      <c r="E21" s="14">
        <v>10</v>
      </c>
      <c r="F21" s="22" t="s">
        <v>41</v>
      </c>
      <c r="G21" s="26" t="str">
        <f t="shared" si="0"/>
        <v>Standard price</v>
      </c>
      <c r="H21" s="26" t="str">
        <f t="shared" si="1"/>
        <v>14</v>
      </c>
      <c r="I21" s="27" t="str">
        <f t="shared" si="2"/>
        <v>US</v>
      </c>
      <c r="J21" s="27" t="str">
        <f t="shared" si="3"/>
        <v>AUG</v>
      </c>
      <c r="N21" t="s">
        <v>6</v>
      </c>
    </row>
    <row r="22" spans="1:16" ht="15.75" customHeight="1" x14ac:dyDescent="0.25">
      <c r="A22" s="19" t="s">
        <v>81</v>
      </c>
      <c r="B22" s="13" t="s">
        <v>82</v>
      </c>
      <c r="C22" s="13" t="s">
        <v>83</v>
      </c>
      <c r="D22" s="13">
        <v>700</v>
      </c>
      <c r="E22" s="13">
        <v>50</v>
      </c>
      <c r="F22" s="20" t="s">
        <v>26</v>
      </c>
      <c r="G22" s="26" t="str">
        <f t="shared" si="0"/>
        <v>High price</v>
      </c>
      <c r="H22" s="26" t="str">
        <f t="shared" si="1"/>
        <v>14</v>
      </c>
      <c r="I22" s="27" t="str">
        <f t="shared" si="2"/>
        <v>RU</v>
      </c>
      <c r="J22" s="27" t="str">
        <f t="shared" si="3"/>
        <v>MAY</v>
      </c>
      <c r="N22" t="s">
        <v>7</v>
      </c>
    </row>
    <row r="23" spans="1:16" ht="15.75" customHeight="1" x14ac:dyDescent="0.25">
      <c r="A23" s="21" t="s">
        <v>84</v>
      </c>
      <c r="B23" s="14" t="s">
        <v>85</v>
      </c>
      <c r="C23" s="14" t="s">
        <v>86</v>
      </c>
      <c r="D23" s="14">
        <v>80</v>
      </c>
      <c r="E23" s="14">
        <v>20</v>
      </c>
      <c r="F23" s="22" t="s">
        <v>34</v>
      </c>
      <c r="G23" s="26" t="str">
        <f t="shared" si="0"/>
        <v>Standard price</v>
      </c>
      <c r="H23" s="26" t="str">
        <f t="shared" si="1"/>
        <v>09</v>
      </c>
      <c r="I23" s="27" t="str">
        <f t="shared" si="2"/>
        <v>CA</v>
      </c>
      <c r="J23" s="27" t="str">
        <f t="shared" si="3"/>
        <v>JAN</v>
      </c>
    </row>
    <row r="24" spans="1:16" ht="15.75" customHeight="1" x14ac:dyDescent="0.3">
      <c r="A24" s="19" t="s">
        <v>87</v>
      </c>
      <c r="B24" s="13" t="s">
        <v>88</v>
      </c>
      <c r="C24" s="13" t="s">
        <v>89</v>
      </c>
      <c r="D24" s="13">
        <v>150</v>
      </c>
      <c r="E24" s="13">
        <v>30</v>
      </c>
      <c r="F24" s="20" t="s">
        <v>26</v>
      </c>
      <c r="G24" s="26" t="str">
        <f t="shared" si="0"/>
        <v>Standard price</v>
      </c>
      <c r="H24" s="26" t="str">
        <f t="shared" si="1"/>
        <v>19</v>
      </c>
      <c r="I24" s="27" t="str">
        <f t="shared" si="2"/>
        <v>BR</v>
      </c>
      <c r="J24" s="27" t="str">
        <f t="shared" si="3"/>
        <v>JUL</v>
      </c>
      <c r="M24" s="12" t="s">
        <v>8</v>
      </c>
    </row>
    <row r="25" spans="1:16" ht="15.75" customHeight="1" x14ac:dyDescent="0.25">
      <c r="A25" s="21" t="s">
        <v>67</v>
      </c>
      <c r="B25" s="14" t="s">
        <v>68</v>
      </c>
      <c r="C25" s="14" t="s">
        <v>69</v>
      </c>
      <c r="D25" s="14">
        <v>50</v>
      </c>
      <c r="E25" s="14">
        <v>35</v>
      </c>
      <c r="F25" s="22" t="s">
        <v>70</v>
      </c>
      <c r="G25" s="26" t="str">
        <f t="shared" si="0"/>
        <v>Standard price</v>
      </c>
      <c r="H25" s="26" t="str">
        <f t="shared" si="1"/>
        <v>21</v>
      </c>
      <c r="I25" s="27" t="str">
        <f t="shared" si="2"/>
        <v>CA</v>
      </c>
      <c r="J25" s="27" t="str">
        <f t="shared" si="3"/>
        <v>AUG</v>
      </c>
      <c r="N25" t="s">
        <v>9</v>
      </c>
    </row>
    <row r="26" spans="1:16" ht="15.75" customHeight="1" x14ac:dyDescent="0.3">
      <c r="A26" s="19" t="s">
        <v>90</v>
      </c>
      <c r="B26" s="13" t="s">
        <v>36</v>
      </c>
      <c r="C26" s="13" t="s">
        <v>91</v>
      </c>
      <c r="D26" s="13">
        <v>800</v>
      </c>
      <c r="E26" s="13">
        <v>45</v>
      </c>
      <c r="F26" s="20" t="s">
        <v>26</v>
      </c>
      <c r="G26" s="26" t="str">
        <f t="shared" si="0"/>
        <v>High price</v>
      </c>
      <c r="H26" s="26" t="str">
        <f t="shared" si="1"/>
        <v>29</v>
      </c>
      <c r="I26" s="27" t="str">
        <f t="shared" si="2"/>
        <v>CA</v>
      </c>
      <c r="J26" s="27" t="str">
        <f t="shared" si="3"/>
        <v>SEP</v>
      </c>
      <c r="M26" s="12"/>
      <c r="N26" s="12"/>
    </row>
    <row r="27" spans="1:16" ht="15.75" customHeight="1" x14ac:dyDescent="0.3">
      <c r="A27" s="21" t="s">
        <v>92</v>
      </c>
      <c r="B27" s="14" t="s">
        <v>76</v>
      </c>
      <c r="C27" s="14" t="s">
        <v>93</v>
      </c>
      <c r="D27" s="14">
        <v>130</v>
      </c>
      <c r="E27" s="14">
        <v>25</v>
      </c>
      <c r="F27" s="22" t="s">
        <v>30</v>
      </c>
      <c r="G27" s="26" t="str">
        <f t="shared" si="0"/>
        <v>Standard price</v>
      </c>
      <c r="H27" s="26" t="str">
        <f t="shared" si="1"/>
        <v>03</v>
      </c>
      <c r="I27" s="27" t="str">
        <f t="shared" si="2"/>
        <v>CA</v>
      </c>
      <c r="J27" s="27" t="str">
        <f t="shared" si="3"/>
        <v>JUN</v>
      </c>
      <c r="M27" s="12" t="s">
        <v>10</v>
      </c>
      <c r="N27" s="12"/>
    </row>
    <row r="28" spans="1:16" ht="15.75" customHeight="1" x14ac:dyDescent="0.25">
      <c r="A28" s="19" t="s">
        <v>94</v>
      </c>
      <c r="B28" s="13" t="s">
        <v>49</v>
      </c>
      <c r="C28" s="13" t="s">
        <v>95</v>
      </c>
      <c r="D28" s="13">
        <v>400</v>
      </c>
      <c r="E28" s="13">
        <v>40</v>
      </c>
      <c r="F28" s="20" t="s">
        <v>34</v>
      </c>
      <c r="G28" s="26" t="str">
        <f t="shared" si="0"/>
        <v>Standard price</v>
      </c>
      <c r="H28" s="26" t="str">
        <f t="shared" si="1"/>
        <v>11</v>
      </c>
      <c r="I28" s="27" t="str">
        <f t="shared" si="2"/>
        <v>CA</v>
      </c>
      <c r="J28" s="27" t="str">
        <f t="shared" si="3"/>
        <v>JUL</v>
      </c>
      <c r="N28" t="s">
        <v>11</v>
      </c>
    </row>
    <row r="29" spans="1:16" ht="15.75" customHeight="1" x14ac:dyDescent="0.25">
      <c r="A29" s="21" t="s">
        <v>65</v>
      </c>
      <c r="B29" s="14" t="s">
        <v>43</v>
      </c>
      <c r="C29" s="14" t="s">
        <v>66</v>
      </c>
      <c r="D29" s="14">
        <v>230</v>
      </c>
      <c r="E29" s="14">
        <v>20</v>
      </c>
      <c r="F29" s="22" t="s">
        <v>26</v>
      </c>
      <c r="G29" s="26" t="str">
        <f t="shared" si="0"/>
        <v>Standard price</v>
      </c>
      <c r="H29" s="26" t="str">
        <f t="shared" si="1"/>
        <v>16</v>
      </c>
      <c r="I29" s="27" t="str">
        <f t="shared" si="2"/>
        <v>ES</v>
      </c>
      <c r="J29" s="27" t="str">
        <f t="shared" si="3"/>
        <v>APR</v>
      </c>
      <c r="N29" t="s">
        <v>12</v>
      </c>
    </row>
    <row r="30" spans="1:16" ht="15.75" customHeight="1" x14ac:dyDescent="0.25">
      <c r="A30" s="19" t="s">
        <v>96</v>
      </c>
      <c r="B30" s="13" t="s">
        <v>97</v>
      </c>
      <c r="C30" s="13" t="s">
        <v>98</v>
      </c>
      <c r="D30" s="13">
        <v>60</v>
      </c>
      <c r="E30" s="13">
        <v>30</v>
      </c>
      <c r="F30" s="20" t="s">
        <v>30</v>
      </c>
      <c r="G30" s="26" t="str">
        <f t="shared" si="0"/>
        <v>Standard price</v>
      </c>
      <c r="H30" s="26" t="str">
        <f t="shared" si="1"/>
        <v>07</v>
      </c>
      <c r="I30" s="27" t="str">
        <f t="shared" si="2"/>
        <v>CA</v>
      </c>
      <c r="J30" s="27" t="str">
        <f t="shared" si="3"/>
        <v>MAR</v>
      </c>
    </row>
    <row r="31" spans="1:16" ht="15.75" customHeight="1" x14ac:dyDescent="0.3">
      <c r="A31" s="21" t="s">
        <v>99</v>
      </c>
      <c r="B31" s="14" t="s">
        <v>100</v>
      </c>
      <c r="C31" s="14" t="s">
        <v>101</v>
      </c>
      <c r="D31" s="14">
        <v>40</v>
      </c>
      <c r="E31" s="14">
        <v>10</v>
      </c>
      <c r="F31" s="22" t="s">
        <v>34</v>
      </c>
      <c r="G31" s="26" t="str">
        <f t="shared" si="0"/>
        <v>Standard price</v>
      </c>
      <c r="H31" s="26" t="str">
        <f t="shared" si="1"/>
        <v>13</v>
      </c>
      <c r="I31" s="27" t="str">
        <f t="shared" si="2"/>
        <v>CA</v>
      </c>
      <c r="J31" s="27" t="str">
        <f t="shared" si="3"/>
        <v>APR</v>
      </c>
      <c r="M31" s="12" t="s">
        <v>13</v>
      </c>
      <c r="N31" s="12"/>
    </row>
    <row r="32" spans="1:16" ht="15.75" customHeight="1" x14ac:dyDescent="0.25">
      <c r="A32" s="19" t="s">
        <v>102</v>
      </c>
      <c r="B32" s="13" t="s">
        <v>88</v>
      </c>
      <c r="C32" s="13" t="s">
        <v>103</v>
      </c>
      <c r="D32" s="13">
        <v>130</v>
      </c>
      <c r="E32" s="13">
        <v>5</v>
      </c>
      <c r="F32" s="20" t="s">
        <v>26</v>
      </c>
      <c r="G32" s="26" t="str">
        <f t="shared" si="0"/>
        <v>Standard price</v>
      </c>
      <c r="H32" s="26" t="str">
        <f t="shared" si="1"/>
        <v>24</v>
      </c>
      <c r="I32" s="27" t="str">
        <f t="shared" si="2"/>
        <v>CA</v>
      </c>
      <c r="J32" s="27" t="str">
        <f t="shared" si="3"/>
        <v>MAY</v>
      </c>
      <c r="N32" t="s">
        <v>14</v>
      </c>
    </row>
    <row r="33" spans="1:14" ht="15.75" customHeight="1" x14ac:dyDescent="0.25">
      <c r="A33" s="21" t="s">
        <v>104</v>
      </c>
      <c r="B33" s="14" t="s">
        <v>105</v>
      </c>
      <c r="C33" s="14" t="s">
        <v>106</v>
      </c>
      <c r="D33" s="14">
        <v>50</v>
      </c>
      <c r="E33" s="14">
        <v>50</v>
      </c>
      <c r="F33" s="22" t="s">
        <v>30</v>
      </c>
      <c r="G33" s="26" t="str">
        <f t="shared" si="0"/>
        <v>Standard price</v>
      </c>
      <c r="H33" s="26" t="str">
        <f t="shared" si="1"/>
        <v>02</v>
      </c>
      <c r="I33" s="27" t="str">
        <f t="shared" si="2"/>
        <v>CA</v>
      </c>
      <c r="J33" s="27" t="str">
        <f t="shared" si="3"/>
        <v>DEC</v>
      </c>
      <c r="N33" t="s">
        <v>15</v>
      </c>
    </row>
    <row r="34" spans="1:14" ht="15.75" customHeight="1" x14ac:dyDescent="0.25">
      <c r="A34" s="19" t="s">
        <v>57</v>
      </c>
      <c r="B34" s="13" t="s">
        <v>24</v>
      </c>
      <c r="C34" s="13" t="s">
        <v>58</v>
      </c>
      <c r="D34" s="13">
        <v>950</v>
      </c>
      <c r="E34" s="13">
        <v>25</v>
      </c>
      <c r="F34" s="20" t="s">
        <v>26</v>
      </c>
      <c r="G34" s="26" t="str">
        <f t="shared" si="0"/>
        <v>High price</v>
      </c>
      <c r="H34" s="26" t="str">
        <f t="shared" si="1"/>
        <v>17</v>
      </c>
      <c r="I34" s="27" t="str">
        <f t="shared" si="2"/>
        <v>IN</v>
      </c>
      <c r="J34" s="27" t="str">
        <f t="shared" si="3"/>
        <v>JUN</v>
      </c>
      <c r="N34" t="s">
        <v>16</v>
      </c>
    </row>
    <row r="35" spans="1:14" ht="15.75" customHeight="1" thickBot="1" x14ac:dyDescent="0.3">
      <c r="A35" s="23" t="s">
        <v>107</v>
      </c>
      <c r="B35" s="24" t="s">
        <v>108</v>
      </c>
      <c r="C35" s="24" t="s">
        <v>109</v>
      </c>
      <c r="D35" s="24">
        <v>100</v>
      </c>
      <c r="E35" s="24">
        <v>20</v>
      </c>
      <c r="F35" s="25" t="s">
        <v>70</v>
      </c>
      <c r="G35" s="29" t="str">
        <f t="shared" si="0"/>
        <v>Standard price</v>
      </c>
      <c r="H35" s="29" t="str">
        <f t="shared" si="1"/>
        <v>09</v>
      </c>
      <c r="I35" s="30" t="str">
        <f t="shared" si="2"/>
        <v>FR</v>
      </c>
      <c r="J35" s="30" t="str">
        <f t="shared" si="3"/>
        <v>JUL</v>
      </c>
    </row>
    <row r="36" spans="1:14" ht="15.75" customHeight="1" x14ac:dyDescent="0.25"/>
    <row r="37" spans="1:14" ht="15.75" customHeight="1" x14ac:dyDescent="0.25">
      <c r="J37" s="5"/>
    </row>
    <row r="38" spans="1:14" ht="15.75" customHeight="1" x14ac:dyDescent="0.25">
      <c r="J38" s="5"/>
    </row>
    <row r="39" spans="1:14" ht="15.75" customHeight="1" x14ac:dyDescent="0.25">
      <c r="J39" s="5"/>
    </row>
    <row r="40" spans="1:14" ht="15.75" customHeight="1" x14ac:dyDescent="0.25">
      <c r="J40" s="5"/>
    </row>
    <row r="41" spans="1:14" ht="15.75" customHeight="1" x14ac:dyDescent="0.25">
      <c r="J41" s="5"/>
    </row>
    <row r="42" spans="1:14" ht="15.75" customHeight="1" x14ac:dyDescent="0.25"/>
    <row r="43" spans="1:14" ht="15.75" customHeight="1" x14ac:dyDescent="0.25"/>
    <row r="44" spans="1:14" ht="15.75" customHeight="1" x14ac:dyDescent="0.25"/>
    <row r="45" spans="1:14" ht="15.75" customHeight="1" x14ac:dyDescent="0.35">
      <c r="D45" s="3"/>
    </row>
    <row r="46" spans="1:14" ht="15.75" customHeight="1" x14ac:dyDescent="0.35">
      <c r="D46" s="3"/>
    </row>
    <row r="47" spans="1:14" ht="15.75" customHeight="1" x14ac:dyDescent="0.35">
      <c r="D47" s="3"/>
    </row>
    <row r="48" spans="1:14" ht="15.75" customHeight="1" x14ac:dyDescent="0.35">
      <c r="D48" s="3"/>
    </row>
    <row r="49" spans="4:4" ht="15.75" customHeight="1" x14ac:dyDescent="0.35">
      <c r="D49" s="3"/>
    </row>
    <row r="50" spans="4:4" ht="16" customHeight="1" x14ac:dyDescent="0.35">
      <c r="D50" s="3"/>
    </row>
    <row r="51" spans="4:4" ht="15.75" customHeight="1" x14ac:dyDescent="0.35">
      <c r="D51" s="3"/>
    </row>
    <row r="52" spans="4:4" ht="15.75" customHeight="1" x14ac:dyDescent="0.25"/>
    <row r="53" spans="4:4" ht="15.75" customHeight="1" x14ac:dyDescent="0.25"/>
    <row r="54" spans="4:4" ht="15.75" customHeight="1" x14ac:dyDescent="0.25"/>
    <row r="55" spans="4:4" ht="15.75" customHeight="1" x14ac:dyDescent="0.25"/>
    <row r="56" spans="4:4" ht="15.75" customHeight="1" x14ac:dyDescent="0.25"/>
    <row r="57" spans="4:4" ht="15.75" customHeight="1" x14ac:dyDescent="0.25"/>
    <row r="58" spans="4:4" ht="15.75" customHeight="1" x14ac:dyDescent="0.25"/>
    <row r="59" spans="4:4" ht="15.75" customHeight="1" x14ac:dyDescent="0.25"/>
    <row r="60" spans="4:4" ht="15.75" customHeight="1" x14ac:dyDescent="0.25"/>
    <row r="61" spans="4:4" ht="15.75" customHeight="1" x14ac:dyDescent="0.25"/>
    <row r="62" spans="4:4" ht="15.75" customHeight="1" x14ac:dyDescent="0.25"/>
    <row r="63" spans="4:4" ht="15.75" customHeight="1" x14ac:dyDescent="0.25"/>
    <row r="64" spans="4: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JINCY JOSE</cp:lastModifiedBy>
  <dcterms:created xsi:type="dcterms:W3CDTF">2026-10-06T17:33:44Z</dcterms:created>
  <dcterms:modified xsi:type="dcterms:W3CDTF">2026-10-07T04:44:10Z</dcterms:modified>
</cp:coreProperties>
</file>